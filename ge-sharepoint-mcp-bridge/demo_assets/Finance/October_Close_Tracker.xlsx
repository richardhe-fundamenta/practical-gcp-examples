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Tasks" sheetId="1" state="visible" r:id="rId1"/>
    <sheet xmlns:r="http://schemas.openxmlformats.org/officeDocument/2006/relationships" name="Var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oseTasks" displayName="CloseTasks" ref="A1:F11" headerRowCount="1">
  <autoFilter ref="A1:F11"/>
  <tableColumns count="6">
    <tableColumn id="1" name="Task ID"/>
    <tableColumn id="2" name="Task"/>
    <tableColumn id="3" name="Owner"/>
    <tableColumn id="4" name="Due Date"/>
    <tableColumn id="5" name="Status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2" customWidth="1" min="4" max="4"/>
    <col width="14" customWidth="1" min="5" max="5"/>
    <col width="42" customWidth="1" min="6" max="6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CL-01</t>
        </is>
      </c>
      <c r="B2" t="inlineStr">
        <is>
          <t>Bank reconciliations</t>
        </is>
      </c>
      <c r="C2" t="inlineStr">
        <is>
          <t>Treasury Analyst</t>
        </is>
      </c>
      <c r="D2" s="2" t="n">
        <v>46329</v>
      </c>
      <c r="E2" t="inlineStr">
        <is>
          <t>Done</t>
        </is>
      </c>
      <c r="F2" t="inlineStr">
        <is>
          <t>All accounts reconciled</t>
        </is>
      </c>
    </row>
    <row r="3">
      <c r="A3" t="inlineStr">
        <is>
          <t>CL-02</t>
        </is>
      </c>
      <c r="B3" t="inlineStr">
        <is>
          <t>AP cut-off and invoice matching</t>
        </is>
      </c>
      <c r="C3" t="inlineStr">
        <is>
          <t>AP Lead</t>
        </is>
      </c>
      <c r="D3" s="2" t="n">
        <v>46329</v>
      </c>
      <c r="E3" t="inlineStr">
        <is>
          <t>Done</t>
        </is>
      </c>
      <c r="F3" t="inlineStr"/>
    </row>
    <row r="4">
      <c r="A4" t="inlineStr">
        <is>
          <t>CL-03</t>
        </is>
      </c>
      <c r="B4" t="inlineStr">
        <is>
          <t>AR ageing review</t>
        </is>
      </c>
      <c r="C4" t="inlineStr">
        <is>
          <t>AR Lead</t>
        </is>
      </c>
      <c r="D4" s="2" t="n">
        <v>46330</v>
      </c>
      <c r="E4" t="inlineStr">
        <is>
          <t>Done</t>
        </is>
      </c>
      <c r="F4" t="inlineStr">
        <is>
          <t>No new items over 90 days</t>
        </is>
      </c>
    </row>
    <row r="5">
      <c r="A5" t="inlineStr">
        <is>
          <t>CL-04</t>
        </is>
      </c>
      <c r="B5" t="inlineStr">
        <is>
          <t>Accruals review</t>
        </is>
      </c>
      <c r="C5" t="inlineStr">
        <is>
          <t>Financial Controller</t>
        </is>
      </c>
      <c r="D5" s="2" t="n">
        <v>46330</v>
      </c>
      <c r="E5" t="inlineStr">
        <is>
          <t>In Progress</t>
        </is>
      </c>
      <c r="F5" t="inlineStr">
        <is>
          <t>Awaiting cloud hosting invoice</t>
        </is>
      </c>
    </row>
    <row r="6">
      <c r="A6" t="inlineStr">
        <is>
          <t>CL-05</t>
        </is>
      </c>
      <c r="B6" t="inlineStr">
        <is>
          <t>Fixed asset depreciation run</t>
        </is>
      </c>
      <c r="C6" t="inlineStr">
        <is>
          <t>Assets Accountant</t>
        </is>
      </c>
      <c r="D6" s="2" t="n">
        <v>46330</v>
      </c>
      <c r="E6" t="inlineStr">
        <is>
          <t>Done</t>
        </is>
      </c>
      <c r="F6" t="inlineStr"/>
    </row>
    <row r="7">
      <c r="A7" t="inlineStr">
        <is>
          <t>CL-06</t>
        </is>
      </c>
      <c r="B7" t="inlineStr">
        <is>
          <t>Payroll journal</t>
        </is>
      </c>
      <c r="C7" t="inlineStr">
        <is>
          <t>Payroll Lead</t>
        </is>
      </c>
      <c r="D7" s="2" t="n">
        <v>46331</v>
      </c>
      <c r="E7" t="inlineStr">
        <is>
          <t>In Progress</t>
        </is>
      </c>
      <c r="F7" t="inlineStr">
        <is>
          <t>Bonus accrual pending</t>
        </is>
      </c>
    </row>
    <row r="8">
      <c r="A8" t="inlineStr">
        <is>
          <t>CL-07</t>
        </is>
      </c>
      <c r="B8" t="inlineStr">
        <is>
          <t>Intercompany reconciliation</t>
        </is>
      </c>
      <c r="C8" t="inlineStr">
        <is>
          <t>Group Accountant</t>
        </is>
      </c>
      <c r="D8" s="2" t="n">
        <v>46331</v>
      </c>
      <c r="E8" t="inlineStr">
        <is>
          <t>Not Started</t>
        </is>
      </c>
      <c r="F8" t="inlineStr">
        <is>
          <t>Blocked on Network Ops recharge schedule</t>
        </is>
      </c>
    </row>
    <row r="9">
      <c r="A9" t="inlineStr">
        <is>
          <t>CL-08</t>
        </is>
      </c>
      <c r="B9" t="inlineStr">
        <is>
          <t>Prepayments amortisation</t>
        </is>
      </c>
      <c r="C9" t="inlineStr">
        <is>
          <t>GL Accountant</t>
        </is>
      </c>
      <c r="D9" s="2" t="n">
        <v>46331</v>
      </c>
      <c r="E9" t="inlineStr">
        <is>
          <t>Done</t>
        </is>
      </c>
      <c r="F9" t="inlineStr"/>
    </row>
    <row r="10">
      <c r="A10" t="inlineStr">
        <is>
          <t>CL-09</t>
        </is>
      </c>
      <c r="B10" t="inlineStr">
        <is>
          <t>Variance analysis</t>
        </is>
      </c>
      <c r="C10" t="inlineStr">
        <is>
          <t>FP&amp;A Manager</t>
        </is>
      </c>
      <c r="D10" s="2" t="n">
        <v>46332</v>
      </c>
      <c r="E10" t="inlineStr">
        <is>
          <t>In Progress</t>
        </is>
      </c>
      <c r="F10" t="inlineStr">
        <is>
          <t>Travel and cloud hosting over budget</t>
        </is>
      </c>
    </row>
    <row r="11">
      <c r="A11" t="inlineStr">
        <is>
          <t>CL-10</t>
        </is>
      </c>
      <c r="B11" t="inlineStr">
        <is>
          <t>Board report pack</t>
        </is>
      </c>
      <c r="C11" t="inlineStr">
        <is>
          <t>CFO Office</t>
        </is>
      </c>
      <c r="D11" s="2" t="n">
        <v>46333</v>
      </c>
      <c r="E11" t="inlineStr">
        <is>
          <t>Not Started</t>
        </is>
      </c>
      <c r="F11" t="inlineStr">
        <is>
          <t>Needs variance commentary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P&amp;L Line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t="inlineStr">
        <is>
          <t>Revenue</t>
        </is>
      </c>
      <c r="B2" s="3" t="n">
        <v>4200000</v>
      </c>
      <c r="C2" s="3" t="n">
        <v>4310000</v>
      </c>
      <c r="D2" s="3">
        <f>C2-B2</f>
        <v/>
      </c>
      <c r="E2" s="4">
        <f>IF(B2=0,0,D2/B2)</f>
        <v/>
      </c>
    </row>
    <row r="3">
      <c r="A3" t="inlineStr">
        <is>
          <t>Cost of goods sold</t>
        </is>
      </c>
      <c r="B3" s="3" t="n">
        <v>2310000</v>
      </c>
      <c r="C3" s="3" t="n">
        <v>2350000</v>
      </c>
      <c r="D3" s="3">
        <f>C3-B3</f>
        <v/>
      </c>
      <c r="E3" s="4">
        <f>IF(B3=0,0,D3/B3)</f>
        <v/>
      </c>
    </row>
    <row r="4">
      <c r="A4" t="inlineStr">
        <is>
          <t>Salaries and wages</t>
        </is>
      </c>
      <c r="B4" s="3" t="n">
        <v>980000</v>
      </c>
      <c r="C4" s="3" t="n">
        <v>972000</v>
      </c>
      <c r="D4" s="3">
        <f>C4-B4</f>
        <v/>
      </c>
      <c r="E4" s="4">
        <f>IF(B4=0,0,D4/B4)</f>
        <v/>
      </c>
    </row>
    <row r="5">
      <c r="A5" t="inlineStr">
        <is>
          <t>Travel</t>
        </is>
      </c>
      <c r="B5" s="3" t="n">
        <v>45000</v>
      </c>
      <c r="C5" s="3" t="n">
        <v>71500</v>
      </c>
      <c r="D5" s="3">
        <f>C5-B5</f>
        <v/>
      </c>
      <c r="E5" s="4">
        <f>IF(B5=0,0,D5/B5)</f>
        <v/>
      </c>
    </row>
    <row r="6">
      <c r="A6" t="inlineStr">
        <is>
          <t>Cloud hosting</t>
        </is>
      </c>
      <c r="B6" s="3" t="n">
        <v>120000</v>
      </c>
      <c r="C6" s="3" t="n">
        <v>158000</v>
      </c>
      <c r="D6" s="3">
        <f>C6-B6</f>
        <v/>
      </c>
      <c r="E6" s="4">
        <f>IF(B6=0,0,D6/B6)</f>
        <v/>
      </c>
    </row>
    <row r="7">
      <c r="A7" t="inlineStr">
        <is>
          <t>Software licences</t>
        </is>
      </c>
      <c r="B7" s="3" t="n">
        <v>64000</v>
      </c>
      <c r="C7" s="3" t="n">
        <v>62500</v>
      </c>
      <c r="D7" s="3">
        <f>C7-B7</f>
        <v/>
      </c>
      <c r="E7" s="4">
        <f>IF(B7=0,0,D7/B7)</f>
        <v/>
      </c>
    </row>
    <row r="8">
      <c r="A8" t="inlineStr">
        <is>
          <t>Marketing</t>
        </is>
      </c>
      <c r="B8" s="3" t="n">
        <v>85000</v>
      </c>
      <c r="C8" s="3" t="n">
        <v>79000</v>
      </c>
      <c r="D8" s="3">
        <f>C8-B8</f>
        <v/>
      </c>
      <c r="E8" s="4">
        <f>IF(B8=0,0,D8/B8)</f>
        <v/>
      </c>
    </row>
    <row r="9">
      <c r="A9" t="inlineStr">
        <is>
          <t>Professional fees</t>
        </is>
      </c>
      <c r="B9" s="3" t="n">
        <v>40000</v>
      </c>
      <c r="C9" s="3" t="n">
        <v>43000</v>
      </c>
      <c r="D9" s="3">
        <f>C9-B9</f>
        <v/>
      </c>
      <c r="E9" s="4">
        <f>IF(B9=0,0,D9/B9)</f>
        <v/>
      </c>
    </row>
    <row r="10">
      <c r="A10" t="inlineStr">
        <is>
          <t>Facilities</t>
        </is>
      </c>
      <c r="B10" s="3" t="n">
        <v>72000</v>
      </c>
      <c r="C10" s="3" t="n">
        <v>71000</v>
      </c>
      <c r="D10" s="3">
        <f>C10-B10</f>
        <v/>
      </c>
      <c r="E10" s="4">
        <f>IF(B10=0,0,D10/B10)</f>
        <v/>
      </c>
    </row>
    <row r="11">
      <c r="A11" s="5" t="inlineStr">
        <is>
          <t>Total operating expenses (excl. COGS)</t>
        </is>
      </c>
      <c r="B11" s="6">
        <f>SUM(B4:B10)</f>
        <v/>
      </c>
      <c r="C11" s="6">
        <f>SUM(C4:C10)</f>
        <v/>
      </c>
      <c r="D11" s="6">
        <f>C11-B11</f>
        <v/>
      </c>
      <c r="E11" s="7">
        <f>IF(B11=0,0,D11/B11)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Halcyon Group (demo)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2026-10-18T19:56:42Z</dcterms:modified>
</cp:coreProperties>
</file>